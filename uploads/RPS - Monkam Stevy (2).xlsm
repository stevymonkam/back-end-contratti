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53222"/>
  <mc:AlternateContent xmlns:mc="http://schemas.openxmlformats.org/markup-compatibility/2006">
    <mc:Choice Requires="x15">
      <x15ac:absPath xmlns:x15ac="http://schemas.microsoft.com/office/spreadsheetml/2010/11/ac" url="C:\Lavoro\AmministrativoCommerciale\Consuntivazione\AREE_FUSIONE\RisorseFuoriPortale\Esterni\2019\RANDSTAD ITALIA\"/>
    </mc:Choice>
  </mc:AlternateContent>
  <bookViews>
    <workbookView xWindow="0" yWindow="0" windowWidth="19200" windowHeight="11600"/>
  </bookViews>
  <sheets>
    <sheet name="Timesheet" sheetId="1" r:id="rId1"/>
    <sheet name="Dati" sheetId="3" state="veryHidden" r:id="rId2"/>
    <sheet name="Assets" sheetId="4" state="veryHidden" r:id="rId3"/>
    <sheet name="Summary" sheetId="5" state="veryHidden" r:id="rId4"/>
  </sheets>
  <functionGroups builtInGroupCount="18"/>
  <definedNames>
    <definedName name="AnnoCalendario">Timesheet!$A$3</definedName>
    <definedName name="id">Dati!$A$1</definedName>
    <definedName name="idPeople">Dati!$D$4</definedName>
    <definedName name="LOP">Assets!$A$1</definedName>
    <definedName name="MeseCalendario">Timesheet!$B$3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3" i="1" l="1"/>
  <c r="E40" i="1" l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D40" i="1"/>
  <c r="AI40" i="1" l="1"/>
  <c r="AC3" i="1" s="1"/>
  <c r="AI27" i="1"/>
  <c r="AI26" i="1"/>
  <c r="AI25" i="1"/>
  <c r="AI24" i="1"/>
  <c r="AI23" i="1"/>
  <c r="AI22" i="1"/>
  <c r="AI21" i="1"/>
  <c r="AI7" i="1" l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6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E4" i="1"/>
  <c r="F4" i="1"/>
  <c r="G4" i="1"/>
  <c r="H4" i="1"/>
  <c r="D4" i="1"/>
</calcChain>
</file>

<file path=xl/sharedStrings.xml><?xml version="1.0" encoding="utf-8"?>
<sst xmlns="http://schemas.openxmlformats.org/spreadsheetml/2006/main" count="14" uniqueCount="14">
  <si>
    <t>PROGETTO</t>
  </si>
  <si>
    <t>ATTIVITA'</t>
  </si>
  <si>
    <t>ANNO</t>
  </si>
  <si>
    <t>MESE</t>
  </si>
  <si>
    <t>TOT Ore</t>
  </si>
  <si>
    <t>COGNOME</t>
  </si>
  <si>
    <t>NOME</t>
  </si>
  <si>
    <t>ID PEOPLE</t>
  </si>
  <si>
    <t>COMMESSA</t>
  </si>
  <si>
    <t>MAX ORE RESIDUALI MENSILI</t>
  </si>
  <si>
    <r>
      <t xml:space="preserve">                                                                                       CONSUNTIVAZIONE MENSILE ATTIVITA'                                                                                  </t>
    </r>
    <r>
      <rPr>
        <b/>
        <sz val="12"/>
        <color theme="1"/>
        <rFont val="Calibri"/>
        <family val="2"/>
        <scheme val="minor"/>
      </rPr>
      <t>Vers. 201902</t>
    </r>
  </si>
  <si>
    <t>STEVY</t>
  </si>
  <si>
    <t>MONKAM</t>
  </si>
  <si>
    <t>A10524_78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</si>
</sst>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theme="0"/>
      </left>
      <right style="medium">
        <color theme="0"/>
      </right>
      <top style="medium">
        <color indexed="64"/>
      </top>
      <bottom/>
      <diagonal/>
    </border>
    <border>
      <left style="medium">
        <color theme="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/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4" fillId="0" borderId="0">
      <alignment horizontal="center"/>
    </xf>
  </cellStyleXfs>
  <cellXfs count="53">
    <xf numFmtId="0" fontId="0" fillId="0" borderId="0" xfId="0"/>
    <xf numFmtId="164" fontId="0" fillId="0" borderId="2" xfId="0" applyNumberFormat="1" applyBorder="1" applyAlignment="1">
      <alignment horizontal="center" vertical="center"/>
    </xf>
    <xf numFmtId="0" fontId="5" fillId="7" borderId="4" xfId="0" applyFont="1" applyFill="1" applyBorder="1" applyAlignment="1" applyProtection="1">
      <alignment horizontal="center" vertical="center"/>
    </xf>
    <xf numFmtId="0" fontId="5" fillId="7" borderId="3" xfId="0" applyFont="1" applyFill="1" applyBorder="1" applyAlignment="1" applyProtection="1">
      <alignment horizontal="center" vertical="center"/>
    </xf>
    <xf numFmtId="0" fontId="5" fillId="7" borderId="5" xfId="0" applyFont="1" applyFill="1" applyBorder="1" applyAlignment="1" applyProtection="1">
      <alignment horizontal="center" vertical="center"/>
    </xf>
    <xf numFmtId="0" fontId="0" fillId="0" borderId="0" xfId="0" applyProtection="1">
      <protection hidden="1"/>
    </xf>
    <xf numFmtId="0" fontId="0" fillId="0" borderId="0" xfId="0" applyProtection="1">
      <protection locked="0" hidden="1"/>
    </xf>
    <xf numFmtId="0" fontId="7" fillId="8" borderId="0" xfId="2" applyFont="1" applyFill="1" applyProtection="1">
      <alignment horizontal="center"/>
    </xf>
    <xf numFmtId="0" fontId="0" fillId="8" borderId="0" xfId="0" applyFill="1" applyAlignment="1"/>
    <xf numFmtId="0" fontId="0" fillId="8" borderId="0" xfId="0" applyFill="1"/>
    <xf numFmtId="0" fontId="0" fillId="8" borderId="0" xfId="0" applyFill="1" applyBorder="1" applyAlignment="1"/>
    <xf numFmtId="0" fontId="1" fillId="8" borderId="0" xfId="1" applyFill="1" applyBorder="1" applyAlignment="1" applyProtection="1">
      <alignment horizontal="center" vertical="center"/>
      <protection locked="0"/>
    </xf>
    <xf numFmtId="0" fontId="3" fillId="2" borderId="6" xfId="0" applyFont="1" applyFill="1" applyBorder="1" applyAlignment="1" applyProtection="1">
      <alignment horizontal="center" vertical="center"/>
    </xf>
    <xf numFmtId="0" fontId="3" fillId="2" borderId="11" xfId="0" applyFont="1" applyFill="1" applyBorder="1" applyAlignment="1" applyProtection="1">
      <alignment horizontal="center" vertical="center"/>
    </xf>
    <xf numFmtId="0" fontId="3" fillId="2" borderId="10" xfId="0" applyFont="1" applyFill="1" applyBorder="1" applyAlignment="1" applyProtection="1">
      <alignment horizontal="center" vertical="center"/>
    </xf>
    <xf numFmtId="0" fontId="6" fillId="5" borderId="0" xfId="0" applyFont="1" applyFill="1" applyAlignment="1">
      <alignment horizontal="center"/>
    </xf>
    <xf numFmtId="0" fontId="10" fillId="8" borderId="0" xfId="0" applyFont="1" applyFill="1" applyBorder="1" applyAlignment="1">
      <alignment horizontal="center"/>
    </xf>
    <xf numFmtId="164" fontId="0" fillId="0" borderId="18" xfId="0" applyNumberFormat="1" applyBorder="1" applyAlignment="1">
      <alignment horizontal="center" vertical="center"/>
    </xf>
    <xf numFmtId="0" fontId="0" fillId="0" borderId="0" xfId="0" applyFont="1"/>
    <xf numFmtId="164" fontId="0" fillId="0" borderId="15" xfId="0" applyNumberFormat="1" applyFont="1" applyFill="1" applyBorder="1" applyAlignment="1" applyProtection="1">
      <alignment horizontal="center" vertical="center"/>
      <protection locked="0"/>
    </xf>
    <xf numFmtId="164" fontId="0" fillId="0" borderId="16" xfId="0" applyNumberFormat="1" applyFont="1" applyFill="1" applyBorder="1" applyAlignment="1" applyProtection="1">
      <alignment horizontal="center" vertical="center"/>
      <protection locked="0"/>
    </xf>
    <xf numFmtId="164" fontId="0" fillId="0" borderId="7" xfId="0" applyNumberFormat="1" applyFont="1" applyFill="1" applyBorder="1" applyAlignment="1" applyProtection="1">
      <alignment horizontal="center" vertical="center"/>
      <protection locked="0"/>
    </xf>
    <xf numFmtId="164" fontId="0" fillId="0" borderId="0" xfId="0" applyNumberFormat="1" applyFont="1" applyFill="1" applyBorder="1" applyAlignment="1" applyProtection="1">
      <alignment horizontal="center" vertical="center"/>
      <protection locked="0"/>
    </xf>
    <xf numFmtId="164" fontId="13" fillId="0" borderId="0" xfId="0" applyNumberFormat="1" applyFont="1" applyFill="1" applyBorder="1" applyAlignment="1" applyProtection="1">
      <alignment horizontal="center" vertical="center"/>
      <protection locked="0"/>
    </xf>
    <xf numFmtId="164" fontId="0" fillId="0" borderId="13" xfId="0" applyNumberFormat="1" applyFont="1" applyFill="1" applyBorder="1" applyAlignment="1" applyProtection="1">
      <alignment horizontal="center" vertical="center"/>
      <protection locked="0"/>
    </xf>
    <xf numFmtId="164" fontId="0" fillId="0" borderId="14" xfId="0" applyNumberFormat="1" applyFont="1" applyFill="1" applyBorder="1" applyAlignment="1" applyProtection="1">
      <alignment horizontal="center" vertical="center"/>
      <protection locked="0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8" borderId="0" xfId="0" applyFill="1" applyAlignment="1">
      <alignment horizontal="left"/>
    </xf>
    <xf numFmtId="0" fontId="3" fillId="8" borderId="0" xfId="0" applyFont="1" applyFill="1" applyAlignment="1">
      <alignment horizontal="left"/>
    </xf>
    <xf numFmtId="0" fontId="11" fillId="10" borderId="17" xfId="0" applyFont="1" applyFill="1" applyBorder="1" applyAlignment="1">
      <alignment horizontal="left" vertical="center"/>
    </xf>
    <xf numFmtId="164" fontId="12" fillId="9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 applyProtection="1">
      <alignment horizontal="left" vertical="center" wrapText="1"/>
      <protection locked="0"/>
    </xf>
    <xf numFmtId="0" fontId="0" fillId="0" borderId="7" xfId="0" applyBorder="1" applyAlignment="1" applyProtection="1">
      <alignment horizontal="left" vertical="center" wrapText="1"/>
      <protection locked="0"/>
    </xf>
    <xf numFmtId="0" fontId="8" fillId="6" borderId="0" xfId="0" applyFont="1" applyFill="1" applyAlignment="1">
      <alignment horizontal="center" vertical="center"/>
    </xf>
    <xf numFmtId="0" fontId="0" fillId="0" borderId="0" xfId="0" applyAlignment="1"/>
    <xf numFmtId="0" fontId="2" fillId="3" borderId="3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5" fillId="4" borderId="12" xfId="0" applyFont="1" applyFill="1" applyBorder="1" applyAlignment="1" applyProtection="1">
      <alignment horizontal="left" vertical="center"/>
    </xf>
    <xf numFmtId="0" fontId="5" fillId="4" borderId="8" xfId="0" applyFont="1" applyFill="1" applyBorder="1" applyAlignment="1" applyProtection="1">
      <alignment horizontal="left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22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/>
    </xf>
    <xf numFmtId="0" fontId="10" fillId="8" borderId="0" xfId="0" applyFont="1" applyFill="1" applyBorder="1" applyAlignment="1">
      <alignment horizontal="center"/>
    </xf>
    <xf numFmtId="0" fontId="6" fillId="8" borderId="0" xfId="0" applyFont="1" applyFill="1" applyAlignment="1">
      <alignment horizontal="center"/>
    </xf>
    <xf numFmtId="0" fontId="3" fillId="8" borderId="0" xfId="0" applyFont="1" applyFill="1" applyBorder="1" applyAlignment="1">
      <alignment horizontal="center"/>
    </xf>
    <xf numFmtId="0" fontId="3" fillId="8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64" fontId="14" fillId="8" borderId="14" xfId="0" applyNumberFormat="1" applyFont="1" applyFill="1" applyBorder="1" applyAlignment="1">
      <alignment horizontal="center"/>
    </xf>
  </cellXfs>
  <cellStyles count="3">
    <cellStyle name="Etichetta" xfId="2"/>
    <cellStyle name="Normale" xfId="0" builtinId="0"/>
    <cellStyle name="Titolo 2" xfId="1" builtinId="17"/>
  </cellStyles>
  <dxfs count="81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rgb="FF0070C0"/>
        </patternFill>
      </fill>
    </dxf>
    <dxf>
      <fill>
        <patternFill>
          <bgColor theme="7" tint="0.39994506668294322"/>
        </patternFill>
      </fill>
    </dxf>
    <dxf>
      <fill>
        <patternFill>
          <bgColor rgb="FF0070C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0070C0"/>
        </patternFill>
      </fill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rgb="FF0070C0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69850</xdr:colOff>
          <xdr:row>2</xdr:row>
          <xdr:rowOff>12700</xdr:rowOff>
        </xdr:from>
        <xdr:to>
          <xdr:col>23</xdr:col>
          <xdr:colOff>19050</xdr:colOff>
          <xdr:row>2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AGGIORNA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69850</xdr:colOff>
          <xdr:row>2</xdr:row>
          <xdr:rowOff>12700</xdr:rowOff>
        </xdr:from>
        <xdr:to>
          <xdr:col>27</xdr:col>
          <xdr:colOff>0</xdr:colOff>
          <xdr:row>2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RIEPILOGO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AI40"/>
  <sheetViews>
    <sheetView tabSelected="1" zoomScale="90" zoomScaleNormal="90" workbookViewId="0">
      <selection activeCell="B6" sqref="B6"/>
    </sheetView>
  </sheetViews>
  <sheetFormatPr defaultColWidth="3.81640625" defaultRowHeight="14.5" x14ac:dyDescent="0.35"/>
  <cols>
    <col min="1" max="1" width="22.7265625" bestFit="1" customWidth="1"/>
    <col min="2" max="2" width="17.81640625" bestFit="1" customWidth="1"/>
    <col min="3" max="3" width="26.7265625" bestFit="1" customWidth="1"/>
    <col min="4" max="4" width="4.26953125" bestFit="1" customWidth="1"/>
    <col min="5" max="5" width="5" bestFit="1" customWidth="1"/>
    <col min="6" max="6" width="3.81640625" bestFit="1" customWidth="1"/>
    <col min="7" max="8" width="4.7265625" bestFit="1" customWidth="1"/>
    <col min="9" max="9" width="4.81640625" bestFit="1" customWidth="1"/>
    <col min="10" max="11" width="4.26953125" bestFit="1" customWidth="1"/>
    <col min="12" max="12" width="5" bestFit="1" customWidth="1"/>
    <col min="13" max="13" width="3.81640625" bestFit="1" customWidth="1"/>
    <col min="14" max="15" width="4.7265625" bestFit="1" customWidth="1"/>
    <col min="16" max="16" width="3.81640625" bestFit="1" customWidth="1"/>
    <col min="17" max="18" width="4.26953125" bestFit="1" customWidth="1"/>
    <col min="19" max="19" width="5" bestFit="1" customWidth="1"/>
    <col min="20" max="20" width="3.81640625" bestFit="1" customWidth="1"/>
    <col min="21" max="22" width="4.7265625" bestFit="1" customWidth="1"/>
    <col min="23" max="23" width="3.81640625" bestFit="1" customWidth="1"/>
    <col min="24" max="25" width="4.26953125" bestFit="1" customWidth="1"/>
    <col min="26" max="26" width="5" bestFit="1" customWidth="1"/>
    <col min="27" max="27" width="3.81640625" bestFit="1" customWidth="1"/>
    <col min="28" max="29" width="4.7265625" bestFit="1" customWidth="1"/>
    <col min="30" max="30" width="3.81640625" bestFit="1" customWidth="1"/>
    <col min="31" max="32" width="4.26953125" bestFit="1" customWidth="1"/>
    <col min="33" max="33" width="5" bestFit="1" customWidth="1"/>
    <col min="34" max="34" width="3.81640625" bestFit="1" customWidth="1"/>
    <col min="35" max="35" width="8.81640625" style="33" bestFit="1" customWidth="1"/>
  </cols>
  <sheetData>
    <row r="1" spans="1:35" ht="44.25" customHeight="1" x14ac:dyDescent="0.35">
      <c r="A1" s="36" t="s">
        <v>10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</row>
    <row r="2" spans="1:35" ht="15.5" x14ac:dyDescent="0.35">
      <c r="A2" s="7" t="s">
        <v>2</v>
      </c>
      <c r="B2" s="7" t="s">
        <v>3</v>
      </c>
      <c r="C2" s="15" t="s">
        <v>5</v>
      </c>
      <c r="D2" s="46" t="s">
        <v>6</v>
      </c>
      <c r="E2" s="46"/>
      <c r="F2" s="46"/>
      <c r="G2" s="46"/>
      <c r="H2" s="46"/>
      <c r="I2" s="46"/>
      <c r="J2" s="8"/>
      <c r="K2" s="9"/>
      <c r="L2" s="9"/>
      <c r="M2" s="9"/>
      <c r="N2" s="9"/>
      <c r="O2" s="9"/>
      <c r="P2" s="9"/>
      <c r="Q2" s="8"/>
      <c r="R2" s="48" t="s">
        <v>7</v>
      </c>
      <c r="S2" s="48"/>
      <c r="T2" s="48"/>
      <c r="U2" s="8"/>
      <c r="V2" s="9"/>
      <c r="W2" s="9"/>
      <c r="X2" s="9"/>
      <c r="Y2" s="9"/>
      <c r="Z2" s="9"/>
      <c r="AA2" s="9"/>
      <c r="AB2" s="9"/>
      <c r="AC2" s="51" t="s">
        <v>9</v>
      </c>
      <c r="AD2" s="51"/>
      <c r="AE2" s="51"/>
      <c r="AF2" s="51"/>
      <c r="AG2" s="51"/>
      <c r="AH2" s="51"/>
      <c r="AI2" s="29"/>
    </row>
    <row r="3" spans="1:35" ht="19" thickBot="1" x14ac:dyDescent="0.5">
      <c r="A3" s="11">
        <v>2019</v>
      </c>
      <c r="B3" s="11">
        <v>5</v>
      </c>
      <c r="C3" s="16" t="s">
        <v>12</v>
      </c>
      <c r="D3" s="47" t="s">
        <v>11</v>
      </c>
      <c r="E3" s="47"/>
      <c r="F3" s="47"/>
      <c r="G3" s="47"/>
      <c r="H3" s="47"/>
      <c r="I3" s="47"/>
      <c r="J3" s="10"/>
      <c r="K3" s="9"/>
      <c r="L3" s="9"/>
      <c r="M3" s="9"/>
      <c r="N3" s="9"/>
      <c r="O3" s="9"/>
      <c r="P3" s="9"/>
      <c r="Q3" s="10"/>
      <c r="R3" s="49"/>
      <c r="S3" s="50"/>
      <c r="T3" s="50"/>
      <c r="U3" s="10"/>
      <c r="V3" s="9"/>
      <c r="W3" s="9"/>
      <c r="X3" s="9"/>
      <c r="Y3" s="9"/>
      <c r="Z3" s="9"/>
      <c r="AA3" s="9"/>
      <c r="AB3" s="9"/>
      <c r="AC3" s="52">
        <f>AI3-AI40</f>
        <v>160</v>
      </c>
      <c r="AD3" s="52"/>
      <c r="AE3" s="52"/>
      <c r="AF3" s="52"/>
      <c r="AG3" s="52"/>
      <c r="AH3" s="52"/>
      <c r="AI3" s="30">
        <f>Dati!B1</f>
        <v>160</v>
      </c>
    </row>
    <row r="4" spans="1:35" ht="15.5" x14ac:dyDescent="0.35">
      <c r="A4" s="38" t="s">
        <v>8</v>
      </c>
      <c r="B4" s="42" t="s">
        <v>0</v>
      </c>
      <c r="C4" s="44" t="s">
        <v>1</v>
      </c>
      <c r="D4" s="3" t="str">
        <f t="shared" ref="D4:AH4" si="0">TEXT(WEEKDAY(DATE(AnnoCalendario,MeseCalendario,D5),1),"ggg")</f>
        <v>mer</v>
      </c>
      <c r="E4" s="2" t="str">
        <f t="shared" si="0"/>
        <v>gio</v>
      </c>
      <c r="F4" s="2" t="str">
        <f t="shared" si="0"/>
        <v>ven</v>
      </c>
      <c r="G4" s="2" t="str">
        <f t="shared" si="0"/>
        <v>sab</v>
      </c>
      <c r="H4" s="2" t="str">
        <f t="shared" si="0"/>
        <v>dom</v>
      </c>
      <c r="I4" s="2" t="str">
        <f t="shared" si="0"/>
        <v>lun</v>
      </c>
      <c r="J4" s="2" t="str">
        <f t="shared" si="0"/>
        <v>mar</v>
      </c>
      <c r="K4" s="2" t="str">
        <f t="shared" si="0"/>
        <v>mer</v>
      </c>
      <c r="L4" s="2" t="str">
        <f t="shared" si="0"/>
        <v>gio</v>
      </c>
      <c r="M4" s="2" t="str">
        <f t="shared" si="0"/>
        <v>ven</v>
      </c>
      <c r="N4" s="2" t="str">
        <f t="shared" si="0"/>
        <v>sab</v>
      </c>
      <c r="O4" s="2" t="str">
        <f t="shared" si="0"/>
        <v>dom</v>
      </c>
      <c r="P4" s="2" t="str">
        <f t="shared" si="0"/>
        <v>lun</v>
      </c>
      <c r="Q4" s="2" t="str">
        <f t="shared" si="0"/>
        <v>mar</v>
      </c>
      <c r="R4" s="2" t="str">
        <f t="shared" si="0"/>
        <v>mer</v>
      </c>
      <c r="S4" s="2" t="str">
        <f t="shared" si="0"/>
        <v>gio</v>
      </c>
      <c r="T4" s="2" t="str">
        <f t="shared" si="0"/>
        <v>ven</v>
      </c>
      <c r="U4" s="2" t="str">
        <f t="shared" si="0"/>
        <v>sab</v>
      </c>
      <c r="V4" s="2" t="str">
        <f t="shared" si="0"/>
        <v>dom</v>
      </c>
      <c r="W4" s="2" t="str">
        <f t="shared" si="0"/>
        <v>lun</v>
      </c>
      <c r="X4" s="2" t="str">
        <f t="shared" si="0"/>
        <v>mar</v>
      </c>
      <c r="Y4" s="2" t="str">
        <f t="shared" si="0"/>
        <v>mer</v>
      </c>
      <c r="Z4" s="2" t="str">
        <f t="shared" si="0"/>
        <v>gio</v>
      </c>
      <c r="AA4" s="2" t="str">
        <f t="shared" si="0"/>
        <v>ven</v>
      </c>
      <c r="AB4" s="2" t="str">
        <f t="shared" si="0"/>
        <v>sab</v>
      </c>
      <c r="AC4" s="2" t="str">
        <f t="shared" si="0"/>
        <v>dom</v>
      </c>
      <c r="AD4" s="2" t="str">
        <f t="shared" si="0"/>
        <v>lun</v>
      </c>
      <c r="AE4" s="2" t="str">
        <f t="shared" si="0"/>
        <v>mar</v>
      </c>
      <c r="AF4" s="2" t="str">
        <f t="shared" si="0"/>
        <v>mer</v>
      </c>
      <c r="AG4" s="2" t="str">
        <f t="shared" si="0"/>
        <v>gio</v>
      </c>
      <c r="AH4" s="4" t="str">
        <f t="shared" si="0"/>
        <v>ven</v>
      </c>
      <c r="AI4" s="40" t="s">
        <v>4</v>
      </c>
    </row>
    <row r="5" spans="1:35" ht="15" thickBot="1" x14ac:dyDescent="0.4">
      <c r="A5" s="39"/>
      <c r="B5" s="43"/>
      <c r="C5" s="45"/>
      <c r="D5" s="12">
        <v>1</v>
      </c>
      <c r="E5" s="13">
        <v>2</v>
      </c>
      <c r="F5" s="13">
        <v>3</v>
      </c>
      <c r="G5" s="13">
        <v>4</v>
      </c>
      <c r="H5" s="13">
        <v>5</v>
      </c>
      <c r="I5" s="13">
        <v>6</v>
      </c>
      <c r="J5" s="13">
        <v>7</v>
      </c>
      <c r="K5" s="13">
        <v>8</v>
      </c>
      <c r="L5" s="13">
        <v>9</v>
      </c>
      <c r="M5" s="13">
        <v>10</v>
      </c>
      <c r="N5" s="13">
        <v>11</v>
      </c>
      <c r="O5" s="13">
        <v>12</v>
      </c>
      <c r="P5" s="13">
        <v>13</v>
      </c>
      <c r="Q5" s="13">
        <v>14</v>
      </c>
      <c r="R5" s="13">
        <v>15</v>
      </c>
      <c r="S5" s="13">
        <v>16</v>
      </c>
      <c r="T5" s="13">
        <v>17</v>
      </c>
      <c r="U5" s="13">
        <v>18</v>
      </c>
      <c r="V5" s="13">
        <v>19</v>
      </c>
      <c r="W5" s="13">
        <v>20</v>
      </c>
      <c r="X5" s="13">
        <v>21</v>
      </c>
      <c r="Y5" s="13">
        <v>22</v>
      </c>
      <c r="Z5" s="13">
        <v>23</v>
      </c>
      <c r="AA5" s="13">
        <v>24</v>
      </c>
      <c r="AB5" s="13">
        <v>25</v>
      </c>
      <c r="AC5" s="13">
        <v>26</v>
      </c>
      <c r="AD5" s="13">
        <v>27</v>
      </c>
      <c r="AE5" s="13">
        <v>28</v>
      </c>
      <c r="AF5" s="13">
        <v>29</v>
      </c>
      <c r="AG5" s="13">
        <v>30</v>
      </c>
      <c r="AH5" s="14">
        <v>31</v>
      </c>
      <c r="AI5" s="41"/>
    </row>
    <row r="6" spans="1:35" ht="30.75" customHeight="1" x14ac:dyDescent="0.35">
      <c r="A6" s="34"/>
      <c r="B6" s="35"/>
      <c r="C6" s="35"/>
      <c r="D6" s="19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31">
        <f>SUM(D6:AH6)</f>
        <v>0</v>
      </c>
    </row>
    <row r="7" spans="1:35" ht="30.75" customHeight="1" x14ac:dyDescent="0.35">
      <c r="A7" s="34"/>
      <c r="B7" s="35"/>
      <c r="C7" s="35"/>
      <c r="D7" s="21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31">
        <f t="shared" ref="AI7:AI39" si="1">SUM(D7:AH7)</f>
        <v>0</v>
      </c>
    </row>
    <row r="8" spans="1:35" ht="30.75" customHeight="1" x14ac:dyDescent="0.35">
      <c r="A8" s="34"/>
      <c r="B8" s="35"/>
      <c r="C8" s="35"/>
      <c r="D8" s="21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31">
        <f t="shared" si="1"/>
        <v>0</v>
      </c>
    </row>
    <row r="9" spans="1:35" ht="30" customHeight="1" x14ac:dyDescent="0.35">
      <c r="A9" s="34"/>
      <c r="B9" s="35"/>
      <c r="C9" s="35"/>
      <c r="D9" s="21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31">
        <f t="shared" si="1"/>
        <v>0</v>
      </c>
    </row>
    <row r="10" spans="1:35" ht="30" customHeight="1" x14ac:dyDescent="0.35">
      <c r="A10" s="34"/>
      <c r="B10" s="35"/>
      <c r="C10" s="35"/>
      <c r="D10" s="21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3"/>
      <c r="Z10" s="22"/>
      <c r="AA10" s="22"/>
      <c r="AB10" s="22"/>
      <c r="AC10" s="22"/>
      <c r="AD10" s="22"/>
      <c r="AE10" s="22"/>
      <c r="AF10" s="22"/>
      <c r="AG10" s="22"/>
      <c r="AH10" s="22"/>
      <c r="AI10" s="31">
        <f t="shared" si="1"/>
        <v>0</v>
      </c>
    </row>
    <row r="11" spans="1:35" ht="30" customHeight="1" x14ac:dyDescent="0.35">
      <c r="A11" s="34"/>
      <c r="B11" s="35"/>
      <c r="C11" s="35"/>
      <c r="D11" s="21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31">
        <f t="shared" si="1"/>
        <v>0</v>
      </c>
    </row>
    <row r="12" spans="1:35" ht="30.75" customHeight="1" x14ac:dyDescent="0.35">
      <c r="A12" s="34"/>
      <c r="B12" s="35"/>
      <c r="C12" s="35"/>
      <c r="D12" s="21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31">
        <f t="shared" si="1"/>
        <v>0</v>
      </c>
    </row>
    <row r="13" spans="1:35" ht="29.25" customHeight="1" x14ac:dyDescent="0.35">
      <c r="A13" s="34"/>
      <c r="B13" s="35"/>
      <c r="C13" s="35"/>
      <c r="D13" s="21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31">
        <f t="shared" si="1"/>
        <v>0</v>
      </c>
    </row>
    <row r="14" spans="1:35" ht="30.75" customHeight="1" x14ac:dyDescent="0.35">
      <c r="A14" s="34"/>
      <c r="B14" s="35"/>
      <c r="C14" s="35"/>
      <c r="D14" s="21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31">
        <f t="shared" si="1"/>
        <v>0</v>
      </c>
    </row>
    <row r="15" spans="1:35" ht="30" customHeight="1" x14ac:dyDescent="0.35">
      <c r="A15" s="34"/>
      <c r="B15" s="35"/>
      <c r="C15" s="35"/>
      <c r="D15" s="21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31">
        <f t="shared" si="1"/>
        <v>0</v>
      </c>
    </row>
    <row r="16" spans="1:35" ht="30" customHeight="1" x14ac:dyDescent="0.35">
      <c r="A16" s="34"/>
      <c r="B16" s="35"/>
      <c r="C16" s="35"/>
      <c r="D16" s="21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31">
        <f t="shared" si="1"/>
        <v>0</v>
      </c>
    </row>
    <row r="17" spans="1:35" ht="30" customHeight="1" x14ac:dyDescent="0.35">
      <c r="A17" s="34"/>
      <c r="B17" s="35"/>
      <c r="C17" s="35"/>
      <c r="D17" s="21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31">
        <f t="shared" si="1"/>
        <v>0</v>
      </c>
    </row>
    <row r="18" spans="1:35" ht="30.75" customHeight="1" x14ac:dyDescent="0.35">
      <c r="A18" s="34"/>
      <c r="B18" s="35"/>
      <c r="C18" s="35"/>
      <c r="D18" s="21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31">
        <f t="shared" si="1"/>
        <v>0</v>
      </c>
    </row>
    <row r="19" spans="1:35" ht="30.75" customHeight="1" x14ac:dyDescent="0.35">
      <c r="A19" s="34"/>
      <c r="B19" s="35"/>
      <c r="C19" s="35"/>
      <c r="D19" s="21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31">
        <f t="shared" si="1"/>
        <v>0</v>
      </c>
    </row>
    <row r="20" spans="1:35" ht="30" customHeight="1" x14ac:dyDescent="0.35">
      <c r="A20" s="34"/>
      <c r="B20" s="35"/>
      <c r="C20" s="35"/>
      <c r="D20" s="21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31">
        <f t="shared" si="1"/>
        <v>0</v>
      </c>
    </row>
    <row r="21" spans="1:35" ht="30" customHeight="1" x14ac:dyDescent="0.35">
      <c r="A21" s="34"/>
      <c r="B21" s="35"/>
      <c r="C21" s="35"/>
      <c r="D21" s="21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31">
        <f t="shared" ref="AI21:AI27" si="2">SUM(D21:AH21)</f>
        <v>0</v>
      </c>
    </row>
    <row r="22" spans="1:35" ht="29.25" customHeight="1" x14ac:dyDescent="0.35">
      <c r="A22" s="34"/>
      <c r="B22" s="35"/>
      <c r="C22" s="35"/>
      <c r="D22" s="21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31">
        <f t="shared" si="2"/>
        <v>0</v>
      </c>
    </row>
    <row r="23" spans="1:35" ht="30" customHeight="1" x14ac:dyDescent="0.35">
      <c r="A23" s="34"/>
      <c r="B23" s="35"/>
      <c r="C23" s="35"/>
      <c r="D23" s="21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31">
        <f t="shared" si="2"/>
        <v>0</v>
      </c>
    </row>
    <row r="24" spans="1:35" ht="30.75" customHeight="1" x14ac:dyDescent="0.35">
      <c r="A24" s="34"/>
      <c r="B24" s="35"/>
      <c r="C24" s="35"/>
      <c r="D24" s="21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31">
        <f t="shared" si="2"/>
        <v>0</v>
      </c>
    </row>
    <row r="25" spans="1:35" ht="30.75" customHeight="1" x14ac:dyDescent="0.35">
      <c r="A25" s="34"/>
      <c r="B25" s="35"/>
      <c r="C25" s="35"/>
      <c r="D25" s="21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31">
        <f t="shared" si="2"/>
        <v>0</v>
      </c>
    </row>
    <row r="26" spans="1:35" ht="30" customHeight="1" x14ac:dyDescent="0.35">
      <c r="A26" s="34"/>
      <c r="B26" s="35"/>
      <c r="C26" s="35"/>
      <c r="D26" s="21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31">
        <f t="shared" si="2"/>
        <v>0</v>
      </c>
    </row>
    <row r="27" spans="1:35" ht="29.25" customHeight="1" x14ac:dyDescent="0.35">
      <c r="A27" s="34"/>
      <c r="B27" s="35"/>
      <c r="C27" s="35"/>
      <c r="D27" s="21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31">
        <f t="shared" si="2"/>
        <v>0</v>
      </c>
    </row>
    <row r="28" spans="1:35" ht="30" customHeight="1" x14ac:dyDescent="0.35">
      <c r="A28" s="34"/>
      <c r="B28" s="35"/>
      <c r="C28" s="35"/>
      <c r="D28" s="21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31">
        <f t="shared" si="1"/>
        <v>0</v>
      </c>
    </row>
    <row r="29" spans="1:35" ht="30" customHeight="1" x14ac:dyDescent="0.35">
      <c r="A29" s="34"/>
      <c r="B29" s="35"/>
      <c r="C29" s="35"/>
      <c r="D29" s="21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31">
        <f t="shared" si="1"/>
        <v>0</v>
      </c>
    </row>
    <row r="30" spans="1:35" ht="30" customHeight="1" x14ac:dyDescent="0.35">
      <c r="A30" s="34"/>
      <c r="B30" s="35"/>
      <c r="C30" s="35"/>
      <c r="D30" s="21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31">
        <f t="shared" si="1"/>
        <v>0</v>
      </c>
    </row>
    <row r="31" spans="1:35" ht="30.75" customHeight="1" x14ac:dyDescent="0.35">
      <c r="A31" s="34"/>
      <c r="B31" s="35"/>
      <c r="C31" s="35"/>
      <c r="D31" s="21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31">
        <f t="shared" si="1"/>
        <v>0</v>
      </c>
    </row>
    <row r="32" spans="1:35" ht="30" customHeight="1" x14ac:dyDescent="0.35">
      <c r="A32" s="34"/>
      <c r="B32" s="35"/>
      <c r="C32" s="35"/>
      <c r="D32" s="21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31">
        <f t="shared" si="1"/>
        <v>0</v>
      </c>
    </row>
    <row r="33" spans="1:35" ht="29.25" customHeight="1" x14ac:dyDescent="0.35">
      <c r="A33" s="34"/>
      <c r="B33" s="35"/>
      <c r="C33" s="35"/>
      <c r="D33" s="21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31">
        <f t="shared" si="1"/>
        <v>0</v>
      </c>
    </row>
    <row r="34" spans="1:35" ht="29.25" customHeight="1" x14ac:dyDescent="0.35">
      <c r="A34" s="34"/>
      <c r="B34" s="35"/>
      <c r="C34" s="35"/>
      <c r="D34" s="21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31">
        <f t="shared" si="1"/>
        <v>0</v>
      </c>
    </row>
    <row r="35" spans="1:35" ht="29.25" customHeight="1" x14ac:dyDescent="0.35">
      <c r="A35" s="34"/>
      <c r="B35" s="35"/>
      <c r="C35" s="35"/>
      <c r="D35" s="21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31">
        <f t="shared" si="1"/>
        <v>0</v>
      </c>
    </row>
    <row r="36" spans="1:35" ht="30.75" customHeight="1" x14ac:dyDescent="0.35">
      <c r="A36" s="34"/>
      <c r="B36" s="35"/>
      <c r="C36" s="35"/>
      <c r="D36" s="21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31">
        <f t="shared" si="1"/>
        <v>0</v>
      </c>
    </row>
    <row r="37" spans="1:35" ht="30.75" customHeight="1" x14ac:dyDescent="0.35">
      <c r="A37" s="34"/>
      <c r="B37" s="35"/>
      <c r="C37" s="35"/>
      <c r="D37" s="21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31">
        <f t="shared" si="1"/>
        <v>0</v>
      </c>
    </row>
    <row r="38" spans="1:35" ht="30" customHeight="1" x14ac:dyDescent="0.35">
      <c r="A38" s="34"/>
      <c r="B38" s="35"/>
      <c r="C38" s="35"/>
      <c r="D38" s="21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31">
        <f t="shared" si="1"/>
        <v>0</v>
      </c>
    </row>
    <row r="39" spans="1:35" ht="30.75" customHeight="1" thickBot="1" x14ac:dyDescent="0.4">
      <c r="A39" s="34"/>
      <c r="B39" s="35"/>
      <c r="C39" s="35"/>
      <c r="D39" s="24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31">
        <f t="shared" si="1"/>
        <v>0</v>
      </c>
    </row>
    <row r="40" spans="1:35" ht="24" thickBot="1" x14ac:dyDescent="0.4">
      <c r="A40" s="26"/>
      <c r="B40" s="27"/>
      <c r="C40" s="28"/>
      <c r="D40" s="17">
        <f>SUM(D6:D39)</f>
        <v>0</v>
      </c>
      <c r="E40" s="1">
        <f t="shared" ref="E40:AH40" si="3">SUM(E6:E39)</f>
        <v>0</v>
      </c>
      <c r="F40" s="1">
        <f t="shared" si="3"/>
        <v>0</v>
      </c>
      <c r="G40" s="1">
        <f t="shared" si="3"/>
        <v>0</v>
      </c>
      <c r="H40" s="1">
        <f t="shared" si="3"/>
        <v>0</v>
      </c>
      <c r="I40" s="1">
        <f t="shared" si="3"/>
        <v>0</v>
      </c>
      <c r="J40" s="1">
        <f t="shared" si="3"/>
        <v>0</v>
      </c>
      <c r="K40" s="1">
        <f t="shared" si="3"/>
        <v>0</v>
      </c>
      <c r="L40" s="1">
        <f t="shared" si="3"/>
        <v>0</v>
      </c>
      <c r="M40" s="1">
        <f t="shared" si="3"/>
        <v>0</v>
      </c>
      <c r="N40" s="1">
        <f t="shared" si="3"/>
        <v>0</v>
      </c>
      <c r="O40" s="1">
        <f t="shared" si="3"/>
        <v>0</v>
      </c>
      <c r="P40" s="1">
        <f t="shared" si="3"/>
        <v>0</v>
      </c>
      <c r="Q40" s="1">
        <f t="shared" si="3"/>
        <v>0</v>
      </c>
      <c r="R40" s="1">
        <f t="shared" si="3"/>
        <v>0</v>
      </c>
      <c r="S40" s="1">
        <f t="shared" si="3"/>
        <v>0</v>
      </c>
      <c r="T40" s="1">
        <f t="shared" si="3"/>
        <v>0</v>
      </c>
      <c r="U40" s="1">
        <f t="shared" si="3"/>
        <v>0</v>
      </c>
      <c r="V40" s="1">
        <f t="shared" si="3"/>
        <v>0</v>
      </c>
      <c r="W40" s="1">
        <f t="shared" si="3"/>
        <v>0</v>
      </c>
      <c r="X40" s="1">
        <f t="shared" si="3"/>
        <v>0</v>
      </c>
      <c r="Y40" s="1">
        <f t="shared" si="3"/>
        <v>0</v>
      </c>
      <c r="Z40" s="1">
        <f t="shared" si="3"/>
        <v>0</v>
      </c>
      <c r="AA40" s="1">
        <f t="shared" si="3"/>
        <v>0</v>
      </c>
      <c r="AB40" s="1">
        <f t="shared" si="3"/>
        <v>0</v>
      </c>
      <c r="AC40" s="1">
        <f t="shared" si="3"/>
        <v>0</v>
      </c>
      <c r="AD40" s="1">
        <f t="shared" si="3"/>
        <v>0</v>
      </c>
      <c r="AE40" s="1">
        <f t="shared" si="3"/>
        <v>0</v>
      </c>
      <c r="AF40" s="1">
        <f t="shared" si="3"/>
        <v>0</v>
      </c>
      <c r="AG40" s="1">
        <f t="shared" si="3"/>
        <v>0</v>
      </c>
      <c r="AH40" s="1">
        <f t="shared" si="3"/>
        <v>0</v>
      </c>
      <c r="AI40" s="32">
        <f>SUM(D40:AH40)</f>
        <v>0</v>
      </c>
    </row>
  </sheetData>
  <sheetProtection algorithmName="SHA-512" hashValue="srFO494vLKit61V2ctdw06cJktPGudJMaDaO4O1t8lSTNAoOn5b9FdeOVXCcrSWqZaiBgbuiJ+wHbck3ueWIeQ==" saltValue="lfTchb+dKbVezrXkO38U/g==" spinCount="100000" sheet="1" objects="1" scenarios="1" selectLockedCells="1"/>
  <mergeCells count="11">
    <mergeCell ref="A1:AI1"/>
    <mergeCell ref="A4:A5"/>
    <mergeCell ref="AI4:AI5"/>
    <mergeCell ref="B4:B5"/>
    <mergeCell ref="C4:C5"/>
    <mergeCell ref="D2:I2"/>
    <mergeCell ref="D3:I3"/>
    <mergeCell ref="R2:T2"/>
    <mergeCell ref="R3:T3"/>
    <mergeCell ref="AC2:AH2"/>
    <mergeCell ref="AC3:AH3"/>
  </mergeCells>
  <conditionalFormatting sqref="F28:AH327 F6:AH20">
    <cfRule type="cellIs" dxfId="80" priority="132" operator="equal">
      <formula>8</formula>
    </cfRule>
  </conditionalFormatting>
  <conditionalFormatting sqref="D28:AH327 D6:AH20">
    <cfRule type="cellIs" dxfId="79" priority="133" operator="greaterThan">
      <formula>8</formula>
    </cfRule>
    <cfRule type="cellIs" dxfId="78" priority="134" operator="greaterThan">
      <formula>0</formula>
    </cfRule>
  </conditionalFormatting>
  <conditionalFormatting sqref="D4:AH4">
    <cfRule type="cellIs" dxfId="77" priority="130" operator="equal">
      <formula>"dom"</formula>
    </cfRule>
    <cfRule type="cellIs" dxfId="76" priority="131" operator="equal">
      <formula>"sab"</formula>
    </cfRule>
  </conditionalFormatting>
  <conditionalFormatting sqref="F21:AH27">
    <cfRule type="cellIs" dxfId="75" priority="127" operator="equal">
      <formula>8</formula>
    </cfRule>
  </conditionalFormatting>
  <conditionalFormatting sqref="D21:AH27">
    <cfRule type="cellIs" dxfId="74" priority="128" operator="greaterThan">
      <formula>8</formula>
    </cfRule>
    <cfRule type="cellIs" dxfId="73" priority="129" operator="greaterThan">
      <formula>0</formula>
    </cfRule>
  </conditionalFormatting>
  <conditionalFormatting sqref="D40:AH40">
    <cfRule type="cellIs" dxfId="72" priority="126" operator="equal">
      <formula>0</formula>
    </cfRule>
  </conditionalFormatting>
  <conditionalFormatting sqref="D6:D39">
    <cfRule type="cellIs" dxfId="71" priority="52" operator="equal">
      <formula>8</formula>
    </cfRule>
    <cfRule type="expression" dxfId="70" priority="53">
      <formula>$D$4="sab"</formula>
    </cfRule>
    <cfRule type="expression" dxfId="69" priority="54">
      <formula>$D$4="dom"</formula>
    </cfRule>
  </conditionalFormatting>
  <conditionalFormatting sqref="E6:E39">
    <cfRule type="cellIs" dxfId="68" priority="114" operator="equal">
      <formula>8</formula>
    </cfRule>
    <cfRule type="expression" dxfId="67" priority="117">
      <formula>$E$4="sab"</formula>
    </cfRule>
    <cfRule type="expression" dxfId="66" priority="118">
      <formula>$E$4="dom"</formula>
    </cfRule>
  </conditionalFormatting>
  <conditionalFormatting sqref="F6:F39">
    <cfRule type="expression" dxfId="65" priority="115">
      <formula>$F$4="sab"</formula>
    </cfRule>
    <cfRule type="expression" dxfId="64" priority="116">
      <formula>$F$4="dom"</formula>
    </cfRule>
  </conditionalFormatting>
  <conditionalFormatting sqref="G6:G39">
    <cfRule type="expression" dxfId="63" priority="101">
      <formula>$G$4="sab"</formula>
    </cfRule>
    <cfRule type="expression" dxfId="62" priority="122">
      <formula>$G$4="dom"</formula>
    </cfRule>
  </conditionalFormatting>
  <conditionalFormatting sqref="H6:H39">
    <cfRule type="expression" dxfId="61" priority="111">
      <formula>$H$4="dom"</formula>
    </cfRule>
    <cfRule type="expression" dxfId="60" priority="121">
      <formula>$H$4="sab"</formula>
    </cfRule>
  </conditionalFormatting>
  <conditionalFormatting sqref="I6:I39">
    <cfRule type="expression" dxfId="59" priority="109">
      <formula>$I$4="dom"</formula>
    </cfRule>
    <cfRule type="expression" dxfId="58" priority="110">
      <formula>$I$4="sab"</formula>
    </cfRule>
  </conditionalFormatting>
  <conditionalFormatting sqref="J6:J39">
    <cfRule type="expression" dxfId="57" priority="107">
      <formula>$J$4="dom"</formula>
    </cfRule>
    <cfRule type="expression" dxfId="56" priority="108">
      <formula>$J$4="sab"</formula>
    </cfRule>
  </conditionalFormatting>
  <conditionalFormatting sqref="K6:K39">
    <cfRule type="expression" dxfId="55" priority="105">
      <formula>$K$4="dom"</formula>
    </cfRule>
    <cfRule type="expression" dxfId="54" priority="106">
      <formula>$K$4="sab"</formula>
    </cfRule>
  </conditionalFormatting>
  <conditionalFormatting sqref="L6:L39">
    <cfRule type="expression" dxfId="53" priority="103">
      <formula>$L$4="dom"</formula>
    </cfRule>
    <cfRule type="expression" dxfId="52" priority="104">
      <formula>$L$4="sab"</formula>
    </cfRule>
  </conditionalFormatting>
  <conditionalFormatting sqref="M6:M39">
    <cfRule type="expression" dxfId="51" priority="97">
      <formula>$M$4="dom"</formula>
    </cfRule>
    <cfRule type="expression" dxfId="50" priority="98">
      <formula>$M$4="sab"</formula>
    </cfRule>
  </conditionalFormatting>
  <conditionalFormatting sqref="N6:N39">
    <cfRule type="expression" dxfId="49" priority="95">
      <formula>$N$4="dom"</formula>
    </cfRule>
    <cfRule type="expression" dxfId="48" priority="96">
      <formula>$N$4="sab"</formula>
    </cfRule>
  </conditionalFormatting>
  <conditionalFormatting sqref="O6:O39">
    <cfRule type="expression" dxfId="47" priority="93">
      <formula>$O$4="dom"</formula>
    </cfRule>
    <cfRule type="expression" dxfId="46" priority="94">
      <formula>$O$4="sab"</formula>
    </cfRule>
  </conditionalFormatting>
  <conditionalFormatting sqref="P6:P39">
    <cfRule type="expression" dxfId="45" priority="91">
      <formula>$P$4="dom"</formula>
    </cfRule>
    <cfRule type="expression" dxfId="44" priority="92">
      <formula>$P$4="sab"</formula>
    </cfRule>
  </conditionalFormatting>
  <conditionalFormatting sqref="Q6:Q39">
    <cfRule type="expression" dxfId="43" priority="89">
      <formula>$Q$4="dom"</formula>
    </cfRule>
    <cfRule type="expression" dxfId="42" priority="90">
      <formula>$Q$4="sab"</formula>
    </cfRule>
  </conditionalFormatting>
  <conditionalFormatting sqref="R6:R39">
    <cfRule type="expression" dxfId="41" priority="87">
      <formula>$R$4="dom"</formula>
    </cfRule>
    <cfRule type="expression" dxfId="40" priority="88">
      <formula>$R$4="sab"</formula>
    </cfRule>
  </conditionalFormatting>
  <conditionalFormatting sqref="S6:S39">
    <cfRule type="expression" dxfId="39" priority="85">
      <formula>$S$4="dom"</formula>
    </cfRule>
    <cfRule type="expression" dxfId="38" priority="86">
      <formula>$S$4="sab"</formula>
    </cfRule>
  </conditionalFormatting>
  <conditionalFormatting sqref="T6:T39">
    <cfRule type="expression" dxfId="37" priority="83">
      <formula>$T$4="dom"</formula>
    </cfRule>
    <cfRule type="expression" dxfId="36" priority="84">
      <formula>$T$4="sab"</formula>
    </cfRule>
  </conditionalFormatting>
  <conditionalFormatting sqref="U6:U39">
    <cfRule type="expression" dxfId="35" priority="81">
      <formula>$U$4="dom"</formula>
    </cfRule>
    <cfRule type="expression" dxfId="34" priority="82">
      <formula>$U$4="sab"</formula>
    </cfRule>
  </conditionalFormatting>
  <conditionalFormatting sqref="V6:V39">
    <cfRule type="expression" dxfId="33" priority="79">
      <formula>$V$4="dom"</formula>
    </cfRule>
    <cfRule type="expression" dxfId="32" priority="80">
      <formula>$V$4="sab"</formula>
    </cfRule>
  </conditionalFormatting>
  <conditionalFormatting sqref="W6:W39">
    <cfRule type="expression" dxfId="31" priority="77">
      <formula>$W$4="dom"</formula>
    </cfRule>
    <cfRule type="expression" dxfId="30" priority="78">
      <formula>$W$4="sab"</formula>
    </cfRule>
  </conditionalFormatting>
  <conditionalFormatting sqref="X6:X39">
    <cfRule type="expression" dxfId="29" priority="75">
      <formula>$X$4="dom"</formula>
    </cfRule>
    <cfRule type="expression" dxfId="28" priority="76">
      <formula>$X$4="sab"</formula>
    </cfRule>
  </conditionalFormatting>
  <conditionalFormatting sqref="Y6:Y39">
    <cfRule type="expression" dxfId="27" priority="73">
      <formula>$Y$4="dom"</formula>
    </cfRule>
    <cfRule type="expression" dxfId="26" priority="74">
      <formula>$Y$4="sab"</formula>
    </cfRule>
  </conditionalFormatting>
  <conditionalFormatting sqref="Z6:Z39">
    <cfRule type="expression" dxfId="25" priority="71">
      <formula>$Z$4="dom"</formula>
    </cfRule>
    <cfRule type="expression" dxfId="24" priority="72">
      <formula>$Z$4="sab"</formula>
    </cfRule>
  </conditionalFormatting>
  <conditionalFormatting sqref="AA6:AA39">
    <cfRule type="expression" dxfId="23" priority="69">
      <formula>$AA$4="dom"</formula>
    </cfRule>
    <cfRule type="expression" dxfId="22" priority="70">
      <formula>$AA$4="sab"</formula>
    </cfRule>
  </conditionalFormatting>
  <conditionalFormatting sqref="AB6:AB39">
    <cfRule type="expression" dxfId="21" priority="67">
      <formula>$AB$4="dom"</formula>
    </cfRule>
    <cfRule type="expression" dxfId="20" priority="68">
      <formula>$AB$4="sab"</formula>
    </cfRule>
  </conditionalFormatting>
  <conditionalFormatting sqref="AC6:AC39">
    <cfRule type="expression" dxfId="19" priority="65">
      <formula>$AC$4="dom"</formula>
    </cfRule>
    <cfRule type="expression" dxfId="18" priority="66">
      <formula>$AC$4="sab"</formula>
    </cfRule>
  </conditionalFormatting>
  <conditionalFormatting sqref="AD6:AD39">
    <cfRule type="expression" dxfId="17" priority="63">
      <formula>$AD$4="dom"</formula>
    </cfRule>
    <cfRule type="expression" dxfId="16" priority="64">
      <formula>$AD$4="sab"</formula>
    </cfRule>
  </conditionalFormatting>
  <conditionalFormatting sqref="AE6:AE39">
    <cfRule type="expression" dxfId="15" priority="61">
      <formula>$AE$4="dom"</formula>
    </cfRule>
    <cfRule type="expression" dxfId="14" priority="62">
      <formula>$AE$4="sab"</formula>
    </cfRule>
  </conditionalFormatting>
  <conditionalFormatting sqref="AF6:AF39">
    <cfRule type="expression" dxfId="13" priority="59">
      <formula>$AF$4="dom"</formula>
    </cfRule>
    <cfRule type="expression" dxfId="12" priority="60">
      <formula>$AF$4="sab"</formula>
    </cfRule>
  </conditionalFormatting>
  <conditionalFormatting sqref="AG6:AG39">
    <cfRule type="expression" dxfId="11" priority="57">
      <formula>$AG$4="dom"</formula>
    </cfRule>
    <cfRule type="expression" dxfId="10" priority="58">
      <formula>$AG$4="sab"</formula>
    </cfRule>
  </conditionalFormatting>
  <conditionalFormatting sqref="AH6:AH39">
    <cfRule type="expression" dxfId="9" priority="55">
      <formula>$AH$4="dom"</formula>
    </cfRule>
    <cfRule type="expression" dxfId="8" priority="56">
      <formula>$AH$4="sab"</formula>
    </cfRule>
  </conditionalFormatting>
  <conditionalFormatting sqref="C41">
    <cfRule type="cellIs" dxfId="7" priority="49" operator="equal">
      <formula>8</formula>
    </cfRule>
  </conditionalFormatting>
  <conditionalFormatting sqref="C41">
    <cfRule type="cellIs" dxfId="6" priority="50" operator="greaterThan">
      <formula>8</formula>
    </cfRule>
    <cfRule type="cellIs" dxfId="5" priority="51" operator="greaterThan">
      <formula>0</formula>
    </cfRule>
  </conditionalFormatting>
  <conditionalFormatting sqref="A40:C40">
    <cfRule type="cellIs" dxfId="4" priority="47" operator="greaterThan">
      <formula>8</formula>
    </cfRule>
    <cfRule type="cellIs" dxfId="3" priority="48" operator="greaterThan">
      <formula>0</formula>
    </cfRule>
  </conditionalFormatting>
  <conditionalFormatting sqref="AC3">
    <cfRule type="cellIs" dxfId="2" priority="6" operator="greaterThan">
      <formula>0</formula>
    </cfRule>
    <cfRule type="cellIs" dxfId="1" priority="7" operator="equal">
      <formula>0</formula>
    </cfRule>
    <cfRule type="cellIs" dxfId="0" priority="8" operator="lessThan">
      <formula>0</formula>
    </cfRule>
  </conditionalFormatting>
  <dataValidations count="5">
    <dataValidation allowBlank="1" showInputMessage="1" showErrorMessage="1" prompt="Immettere l'anno nella cella sottostante" sqref="A2"/>
    <dataValidation allowBlank="1" showInputMessage="1" showErrorMessage="1" prompt="Immettere l'anno in questa cella" sqref="A3"/>
    <dataValidation type="list" allowBlank="1" showInputMessage="1" showErrorMessage="1" sqref="A6:A39">
      <formula1>LOP</formula1>
    </dataValidation>
    <dataValidation type="list" allowBlank="1" showInputMessage="1" showErrorMessage="1" sqref="B6:B39">
      <formula1>INDIRECT($A6)</formula1>
    </dataValidation>
    <dataValidation type="list" allowBlank="1" showInputMessage="1" showErrorMessage="1" sqref="C6:C39">
      <formula1>INDIRECT($B6)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glio1.readProject">
                <anchor moveWithCells="1" sizeWithCells="1">
                  <from>
                    <xdr:col>20</xdr:col>
                    <xdr:colOff>69850</xdr:colOff>
                    <xdr:row>2</xdr:row>
                    <xdr:rowOff>12700</xdr:rowOff>
                  </from>
                  <to>
                    <xdr:col>23</xdr:col>
                    <xdr:colOff>19050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iepilogo">
                <anchor moveWithCells="1" sizeWithCells="1">
                  <from>
                    <xdr:col>24</xdr:col>
                    <xdr:colOff>69850</xdr:colOff>
                    <xdr:row>2</xdr:row>
                    <xdr:rowOff>12700</xdr:rowOff>
                  </from>
                  <to>
                    <xdr:col>27</xdr:col>
                    <xdr:colOff>0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Dati!$B:$B</xm:f>
          </x14:formula1>
          <xm:sqref>C40</xm:sqref>
        </x14:dataValidation>
        <x14:dataValidation type="list" allowBlank="1" showInputMessage="1" showErrorMessage="1">
          <x14:formula1>
            <xm:f>Dati!$A:$A</xm:f>
          </x14:formula1>
          <xm:sqref>B40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B1"/>
  <sheetViews>
    <sheetView workbookViewId="0">
      <selection activeCell="A2" sqref="A2"/>
    </sheetView>
  </sheetViews>
  <sheetFormatPr defaultColWidth="9.1796875" defaultRowHeight="14.5" x14ac:dyDescent="0.35"/>
  <cols>
    <col min="1" max="1" width="11.26953125" style="6" customWidth="1"/>
    <col min="2" max="2" width="26.26953125" style="6" bestFit="1" customWidth="1"/>
    <col min="3" max="3" width="8.453125" style="5" customWidth="1"/>
    <col min="4" max="4" width="9.1796875" style="5"/>
    <col min="5" max="5" width="5" style="5" bestFit="1" customWidth="1"/>
    <col min="6" max="6" width="9.1796875" style="5"/>
    <col min="7" max="9" width="9.1796875" style="5" customWidth="1"/>
    <col min="10" max="16384" width="9.1796875" style="5"/>
  </cols>
  <sheetData>
    <row r="1" spans="1:2" x14ac:dyDescent="0.35">
      <c r="A1" s="6">
        <v>5423</v>
      </c>
      <c r="B1" s="6">
        <v>160</v>
      </c>
    </row>
  </sheetData>
  <sheetProtection algorithmName="SHA-512" hashValue="y9iSSieEdNS9AL8gURZNN+dG8xPDSU0hRq2ef25pPuE/+d4fBEyAFi9LlM/zgbm5x0/dsn2BRjpYn+F7o3fZiA==" saltValue="NYLN+DjHjGuN41DBwhP1dw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"/>
  <sheetViews>
    <sheetView zoomScale="85" zoomScaleNormal="85" workbookViewId="0">
      <selection activeCell="B2" sqref="B2"/>
    </sheetView>
  </sheetViews>
  <sheetFormatPr defaultColWidth="8.81640625" defaultRowHeight="14.5" x14ac:dyDescent="0.35"/>
  <cols>
    <col min="1" max="1" width="26.54296875" style="5" customWidth="1"/>
    <col min="2" max="2" width="11.7265625" style="5" customWidth="1"/>
    <col min="3" max="16384" width="8.81640625" style="5"/>
  </cols>
  <sheetData>
    <row r="1" spans="1:1" x14ac:dyDescent="0.35">
      <c r="A1" s="5" t="s">
        <v>13</v>
      </c>
    </row>
  </sheetData>
  <sheetProtection algorithmName="SHA-512" hashValue="8ArrZxlES7uRdkZ1ecbJQLrgey0QjoKag+U2OpIDesWrfcwCKQ2BCl8bT4axUk+vW3ZDFkG4npK7dzen83X2NQ==" saltValue="GotHYOfmIBD+/AItzbJTyw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"/>
  <sheetViews>
    <sheetView workbookViewId="0"/>
  </sheetViews>
  <sheetFormatPr defaultRowHeight="14.5" x14ac:dyDescent="0.35"/>
  <sheetData>
    <row r="1" spans="1:1" x14ac:dyDescent="0.35">
      <c r="A1" s="18"/>
    </row>
  </sheetData>
  <sheetProtection algorithmName="SHA-512" hashValue="fQWFEQHP2LKWAWA+bQ7t2/DfOrYasSLclwqyvIXqNMpUuQfNEcAvjPzyDaTex4LDaRw9lETU1ul7EWeR12U4Gg==" saltValue="m8tpIF7o+fPsqQJQ4T1R3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5</vt:i4>
      </vt:variant>
    </vt:vector>
  </HeadingPairs>
  <TitlesOfParts>
    <vt:vector size="6" baseType="lpstr">
      <vt:lpstr>Timesheet</vt:lpstr>
      <vt:lpstr>AnnoCalendario</vt:lpstr>
      <vt:lpstr>id</vt:lpstr>
      <vt:lpstr>idPeople</vt:lpstr>
      <vt:lpstr>LOP</vt:lpstr>
      <vt:lpstr>MeseCalendario</vt:lpstr>
    </vt:vector>
  </TitlesOfParts>
  <Company>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p.zamboni</dc:creator>
  <cp:lastModifiedBy>Hewlett-Packard Company</cp:lastModifiedBy>
  <dcterms:created xsi:type="dcterms:W3CDTF">2018-07-11T14:33:49Z</dcterms:created>
  <dcterms:modified xsi:type="dcterms:W3CDTF">2019-06-04T15:14:42Z</dcterms:modified>
</cp:coreProperties>
</file>